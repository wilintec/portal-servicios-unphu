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OneDrive\UNPHU\laboratorios\servicios\"/>
    </mc:Choice>
  </mc:AlternateContent>
  <xr:revisionPtr revIDLastSave="49" documentId="8_{A5E38AE1-74D9-454B-9CB1-7972C456C45F}" xr6:coauthVersionLast="36" xr6:coauthVersionMax="36" xr10:uidLastSave="{B34FE5E9-FA94-465E-8F1B-61D69017EE4F}"/>
  <bookViews>
    <workbookView xWindow="0" yWindow="0" windowWidth="28800" windowHeight="12110" xr2:uid="{00000000-000D-0000-FFFF-FFFF00000000}"/>
  </bookViews>
  <sheets>
    <sheet name="servicios" sheetId="1" r:id="rId1"/>
    <sheet name="datos" sheetId="2" r:id="rId2"/>
    <sheet name="Estadisticas" sheetId="3" r:id="rId3"/>
  </sheets>
  <definedNames>
    <definedName name="listaLab">datos!$A$2:$A$10</definedName>
    <definedName name="listaS">datos!$C$2:$C$3</definedName>
    <definedName name="listaServicios">datos!$B$2:$B$10</definedName>
  </definedNames>
  <calcPr calcId="191029"/>
</workbook>
</file>

<file path=xl/calcChain.xml><?xml version="1.0" encoding="utf-8"?>
<calcChain xmlns="http://schemas.openxmlformats.org/spreadsheetml/2006/main">
  <c r="C3" i="3" l="1"/>
  <c r="C2" i="3"/>
</calcChain>
</file>

<file path=xl/sharedStrings.xml><?xml version="1.0" encoding="utf-8"?>
<sst xmlns="http://schemas.openxmlformats.org/spreadsheetml/2006/main" count="393" uniqueCount="185">
  <si>
    <t>Laboratorio</t>
  </si>
  <si>
    <t>Contacto</t>
  </si>
  <si>
    <t>Servicio</t>
  </si>
  <si>
    <t>Requiere Equipo del Laboratorio</t>
  </si>
  <si>
    <t>Descripcion y Alcance</t>
  </si>
  <si>
    <t>Tipo de usuario al que 
podría dirigirse.</t>
  </si>
  <si>
    <t>Equipos requeridos 
para su prestación.</t>
  </si>
  <si>
    <t>Materiales, reactivos
 o insumos necesarios.</t>
  </si>
  <si>
    <t>Personal técnico o especializado requerido</t>
  </si>
  <si>
    <t>Tiempo estimado para la realización del servicio.</t>
  </si>
  <si>
    <t>Cualquier requisito, limitación o condición especial que deba considerarse para el arrendamiento del servicio.</t>
  </si>
  <si>
    <t>Herbario Henrí Alaín Liogie</t>
  </si>
  <si>
    <t>Santa Feliz herbario@unphu.edu.do</t>
  </si>
  <si>
    <t>Consultoria</t>
  </si>
  <si>
    <t>Si</t>
  </si>
  <si>
    <t>Asesoría técnica y levantamiento de información sobre la composición florística de un área mediante muestreos de campo, elaboración de listados de especies e informes técnicos para proyectos ambientales, de investigación, conservación o restauración ecológica.</t>
  </si>
  <si>
    <t>Consultoras ambientales, empresas, instituciones públicas, ONG, universidades e investigadores.</t>
  </si>
  <si>
    <t>Equipos de campo (GPS, cámara fotográfica), 
equipos de herbario y equipos informáticos.</t>
  </si>
  <si>
    <t xml:space="preserve">Materiales para colecta y preservación botánica,
 material de montaje de especímenes. </t>
  </si>
  <si>
    <t>Botánico(a), Curadora de herbario y 
asistentes de campo (según el proyecto).</t>
  </si>
  <si>
    <t>Variable, según el área de estudio y el alcance del proyecto.</t>
  </si>
  <si>
    <t>El contratante deberá facilitar el acceso al área de estudio y 
cubrir los gastos logísticos cuando corresponda.</t>
  </si>
  <si>
    <t>Capacitacion</t>
  </si>
  <si>
    <t>Capacitación teórico-práctica sobre técnicas de
 colecta, preservación, prensado, montaje, etiquetado y conservación de especímenes botánicos para investigación y docencia.</t>
  </si>
  <si>
    <t>Estudiantes, investigadores, 
consultoras, instituciones públicas y privadas.</t>
  </si>
  <si>
    <t>Equipos de herbario, audiovisuales
 y de laboratorio.</t>
  </si>
  <si>
    <t>Material didáctico y materiales 
para prácticas botánicas.</t>
  </si>
  <si>
    <t xml:space="preserve">Personal del Herbario </t>
  </si>
  <si>
    <t>Según el programa de capacitación.</t>
  </si>
  <si>
    <t>Requiere un número mínimo de participantes y un espacio adecuado para las actividades prácticas.</t>
  </si>
  <si>
    <t>Planificación y desarrollo de actividades prácticas
 para el aprendizaje de técnicas de muestreo, colecta, observación e identificación de la flora en campo.</t>
  </si>
  <si>
    <t>Universidades, centros educativos,
 empresas e instituciones públicas y privadas.</t>
  </si>
  <si>
    <t>Equipos de campo y 
equipos de herbario.</t>
  </si>
  <si>
    <t>Materiales para colecta botánica, 
guías de campo y material didáctico.</t>
  </si>
  <si>
    <t xml:space="preserve">Personal del herbario </t>
  </si>
  <si>
    <t>Según la duración de la actividad.</t>
  </si>
  <si>
    <t>El contratante deberá gestionar los permisos y cubrir los gastos logísticos necesarios para la actividad.</t>
  </si>
  <si>
    <t>No</t>
  </si>
  <si>
    <t>Charlas técnicas o de divulgación sobre 
especies de interés, adaptadas al público objetivo.</t>
  </si>
  <si>
    <t>Instituciones educativas, empresas, instituciones públicas, ONG, asociaciones y público en general.</t>
  </si>
  <si>
    <t>ninguno</t>
  </si>
  <si>
    <t>Material didáctico y recursos audiovisuales.</t>
  </si>
  <si>
    <t>Aproximadamente 1 horas por sesión.</t>
  </si>
  <si>
    <t>El tema de la charla deberá definirse previamente con el solicitante y estará sujeto a la disponibilidad del personal especializado.</t>
  </si>
  <si>
    <t>Actualización y validación de nomenclatura en listados florísticos</t>
  </si>
  <si>
    <t>Consultoras ambientales, universidades,
 instituciones públicas, investigadores y ONG.</t>
  </si>
  <si>
    <t>Software de oficina, literatura científica y bases de datos especializadas.</t>
  </si>
  <si>
    <t>Botánico(a) con experiencia en taxonomía vegetal.</t>
  </si>
  <si>
    <t>Variable, según la cantidad de especies a revisar.</t>
  </si>
  <si>
    <t>El cliente deberá suministrar el listado en formato digital editable. El servicio no incluye la verificación de identificaciones mediante revisión de especímenes físicos.</t>
  </si>
  <si>
    <t>Laboratorio de Investigaciones en Ciencias Básicas</t>
  </si>
  <si>
    <t>Alberto Nuñez: alnunez@unphu.edu.do</t>
  </si>
  <si>
    <t>Analisis Quimico</t>
  </si>
  <si>
    <t>Determinación del contenido de polifenoles en extractos de productos naturales por espectrofotometría UV-VIS</t>
  </si>
  <si>
    <t>Farmaceuticas, Laboratorios</t>
  </si>
  <si>
    <t>Pendiente</t>
  </si>
  <si>
    <t>Personal del Laboratorio</t>
  </si>
  <si>
    <t>Personal del Laboratorio de Investigaciones en Ciencias Básicas (pendiente de contracion)</t>
  </si>
  <si>
    <t>Determinación de polifenoles en extractos de productos naturales por cromatografía líquida de alta resolución (HPLC).</t>
  </si>
  <si>
    <t>Determinación de flavonoides en alimentos por cromatografía líquida de alta resolución (HPLC)</t>
  </si>
  <si>
    <t>Determinación de principios activos farmacéuticos en formulaciones galénicas por HPLC</t>
  </si>
  <si>
    <t>Determinación de principios activos farmacéuticos en muestras de fluidos biológicos por HPLC.</t>
  </si>
  <si>
    <t>Determinación de pureza de productos químicos por técnicas cromatográficas (HPLC)</t>
  </si>
  <si>
    <t>Aislamiento y purificación de principios activos a partir de mezclas obtenidas por síntesis química o extracción de productos naturales</t>
  </si>
  <si>
    <t>Valorización del aprovechamiento de residuos agroalimentarios y forestales para la producción de productos de alto valor agregado.</t>
  </si>
  <si>
    <t>NO</t>
  </si>
  <si>
    <t>N/A</t>
  </si>
  <si>
    <t>Implementación de Sistemas de Garantía de Calidad para el Análisis y Control de Procesos Productivos.</t>
  </si>
  <si>
    <t>Diseño, coordinación y monitoreo de ensayos clínicos para la evaluación de la eficacia y seguridad de productos farmacéuticos (Fases I, II y III)</t>
  </si>
  <si>
    <t>Diseño de Protocolos y Proyectos de Investigación-Desarrollo en diferentes campos de la Ciencia y la Tecnología.</t>
  </si>
  <si>
    <t>Análisis del Estado del Arte, Nichos de Mercado y Direcciones Estratégicas de Investigación en Ciencias Básicas y Aplicadas.</t>
  </si>
  <si>
    <t>Laboratorio de Investigación de Ciencias Biológicas</t>
  </si>
  <si>
    <t>Enmanuel Antonio Montero emontero@unphu.edu.do</t>
  </si>
  <si>
    <t>Servicio 1. Asesoría técnica y levantamiento de información sobre  recursos ícticos y pesquerías</t>
  </si>
  <si>
    <t>Consultoras ambientales, empresas de la pesca ornamental y acuicolas, instituciones públicas, ONG, universidades,  investigadores</t>
  </si>
  <si>
    <t>Equipos de campo: GPS, cámara subacuáfica, red de plancton , ictiómetro, disco de secchi, flujómetro, balanza, multiparamétrico, correntómetro, dron, entre otros
Equipos de laboratorio. Estereoscopio, microscopio y equipos informáticos.</t>
  </si>
  <si>
    <t xml:space="preserve">Reactivos y materiales/cristaleria
 para colecta y preservación de muestras. </t>
  </si>
  <si>
    <t>Expertos en biología pesquera y biología de conservación, 
asistentes de campo (según el proyecto servicio ).</t>
  </si>
  <si>
    <t>Variable, según el el interes del solicitante, del estudio y el alcance de este.</t>
  </si>
  <si>
    <t>Servicio 2. Evaluación de salud de arrecifes de coral e invertebrados bentónicos. Especies exoticas ivasoras acuaticas, organismos ornametales y de trafico para industria de acuarios</t>
  </si>
  <si>
    <t>Consultoras ambientales, empresas turisticas, de la pesca ornamenta y otras que implementan la economia azul, instituciones públicas, ONG, universidades,  investigadores</t>
  </si>
  <si>
    <t>Equipos de campo: GPS, cámara subacuáfica, red de plancton , ictiómetro, disco de secchi balanza, 
multiparamétrico, correntómetro, dron,  estaciones autónomas de monitoreo biológico marino (ARMS), equipo de buceo y embarcación. 
Equipos de laboratorio. Estereoscopio, microscopio y equipos informáticos.</t>
  </si>
  <si>
    <t xml:space="preserve">Reactivos y materiales/cristaleria para colecta y preservación de muestras,
 material de montaje de especímenes. </t>
  </si>
  <si>
    <t>Expertos en biología pesquera, biología de conservación y 
asistentes de campo.</t>
  </si>
  <si>
    <t>Servicio 3. Extracción y Purificación de ADN (Tejidos y eDNA)</t>
  </si>
  <si>
    <t>Equipos de laboratorio: centrífuga, autoclave, Balanza analítica de calibración externa, Incubadora de seguridad de protocolo avanzado, agitador vórtex digital, termociclador, nevera y congelador.</t>
  </si>
  <si>
    <t xml:space="preserve">Reactivos, materiales y cristaleria para la extracion del ADN,
 material de montaje de especímenes. </t>
  </si>
  <si>
    <t xml:space="preserve">Experta en biologia molecular  </t>
  </si>
  <si>
    <t>Servicio 4.Amplifición  de ADN (Tejidos y eDNA)</t>
  </si>
  <si>
    <t>Reactivos, materiales y cristaleria para la extracion del ADN,
 material de montaje de especímenes.</t>
  </si>
  <si>
    <t>Taller técnicas de muestreo de campo en investigaciones de especies marinas pesqueras</t>
  </si>
  <si>
    <t>Instituciones públicas y privadas, universidades y publico en general</t>
  </si>
  <si>
    <t>Equipos de campo: GPS, cámara subacuáfica, red de plancton , ictiómetro, disco de secchi, flujómetro, balanza, multiparamétrico, correntómetro, dron, entre otros</t>
  </si>
  <si>
    <t>Material didáctico y recursos audiovisuales</t>
  </si>
  <si>
    <t xml:space="preserve"> Personal del laboratorio de Ciencias Biológicas</t>
  </si>
  <si>
    <t>Bases para el diseño metodológico de técnicas moleculares para estudios de macrofauna</t>
  </si>
  <si>
    <t>Equipos de laboratorio. Estereoscopio, microscopio y equipos informáticos.</t>
  </si>
  <si>
    <t xml:space="preserve"> Laboratorio de Investigaciones de la Facultad de Ciencias y Tecnología</t>
  </si>
  <si>
    <t>Ramón Alonso Pérez Romero rperez@unphu.edu.do</t>
  </si>
  <si>
    <t>Análisis de composición</t>
  </si>
  <si>
    <t>Determinación de los parámetros de composición proximal (humedad, cenizas, proteína cruda, grasa cruda, fibra cruda/NDF/ADF/ADL y carbohidratos por diferencia) en muestras alimenticias, agropecuarias o materias primas, mediante métodos estandarizados. Incluye preparación de la muestra, ejecución del análisis y entrega de reporte de resultados.</t>
  </si>
  <si>
    <t>Empresas del sector de alimentos y agroindustria, productores agropecuarios, entidades regulatorias, investigadores enfocados en valorización de biomasa residual o alimentos poco convencionales.</t>
  </si>
  <si>
    <t>Balanza analítica; Tamizador motorizado; Desintegrador MPD-102; Medidor rápido de humedad BM-50-1; 
Horno; Mufla; Sistema Soxhlet BFA-1S; Analizador Kjeldahl AKN-10S; Analizador de fibra BK-F800; 
Digestor de grafito GDA-20; Agitadores magnéticos; Placa caliente auxiliar.</t>
  </si>
  <si>
    <t>Grasa cruda (Soxhlet): n-Hexano o ciclohexano grado HPLC, agua destilada. Fibra cruda/NDF/ADF/ADL (BK-F800): H₂SO₄ 1.25%, NaOH 1.25%, acetona ≥99.5%, solución detergente neutra (SDS, EDTA, borato), Na₂SO₃ (opcional), α-amilasa termoestable, solución detergente ácida (CTAB + H₂SO₄), H₂SO₄ 72%. Proteína (Kjeldahl): H₂SO₄ 98%, catalizador Kjeldahl (K₂SO₄:CuSO₄/Se), NaOH 40%, H₃BO₃ 4% + indicador, ácido estándar HCl 0.1N. Humedad y Cenizas: sin reactivos.</t>
  </si>
  <si>
    <t xml:space="preserve">	Personal técnico de laboratorio dedicado a estas actividades. No se asignan estudiantes, salvo que desempeñen una función específica dentro del servicio.</t>
  </si>
  <si>
    <t>Varía según el ensayo: Humedad (aprox. 4–6 h, incluyendo secado y enfriamiento); Cenizas (aprox. 6–8 h en mufla, más enfriamiento); Grasa cruda/Soxhlet (aprox. 4–6 h); Proteína/Kjeldahl (aprox. 3–5 h entre digestión, destilación y titulación); Fibra cruda/NDF/ADF/ADL (aprox. 3–4 h por fracción). Para un panel completo de composición proximal, el tiempo total estimado es de 3 a 5 días laborables, considerando preparación de muestra, corridas por lote y elaboración del reporte.</t>
  </si>
  <si>
    <t xml:space="preserve"> No se aceptan muestras de carnes, pescados u otros productos de origen cárnico/pesquero. El laboratorio está enfocado prioritariamente en la valorización de biomasa residual y alimentos poco convencionales.</t>
  </si>
  <si>
    <t>Servicios</t>
  </si>
  <si>
    <t>Si/no</t>
  </si>
  <si>
    <t xml:space="preserve"> Laboratorio de Ciencias y Tecnología</t>
  </si>
  <si>
    <t>Laboratorio de Investigaciones Odontológicas (LABIO)</t>
  </si>
  <si>
    <t>Cultivo celular</t>
  </si>
  <si>
    <t>Evaluación de citotoxicidad in vitro de biomateriales y productos odontológicos. Evaluación in vitro de la biocompatibilidad de materiales dentales mediante cultivo celular. Exposición de células en cultivo a materiales, extractos o eluados (resinas, cementos, selladores, adhesivos, irrigantes, colutorios, etc.) y evaluación de la viabilidad celular por conteo con azul de tripano y de la morfología celular por microscopía invertida con registro fotográfico. Incluye preparación de extractos, siembra, exposición, conteo, documentación fotográfica e informe técnico con resultados.</t>
  </si>
  <si>
    <t>Empresas y distribuidores de materiales dentales, investigadores, estudiantes de pregrado y posgrado, clínicas y otros laboratorios universitarios.</t>
  </si>
  <si>
    <t>Campana de flujo laminar, incubadora de CO₂, contador de células, microscopio invertido con cámara, centrífuga, baño María y balanza.</t>
  </si>
  <si>
    <t>Medio de cultivo, suero fetal bovino, antibióticos, tripsina, PBS, azul de tripano, placas y frascos de cultivo estériles, puntas y pipetas serológicas, material de bioseguridad (guantes y desinfectantes).</t>
  </si>
  <si>
    <t>Investigador con formación en cultivo celular (responsable técnico) y un técnico o asistente capacitado.</t>
  </si>
  <si>
    <t>De 1 a 3 días hábiles para revisión de la solicitud. De 5 a 10 días hábiles para el ensayo, según el número de materiales, tiempos de exposición y réplicas; y de 2 a 3 días hábiles para el informe.</t>
  </si>
  <si>
    <t>Ensayo de cribado preliminar; no sustituye la certificación regulatoria de un producto. Servicio realizado únicamente en LABIO. Se utilizan las líneas celulares disponibles en el laboratorio; el cliente no podrá introducir material biológico propio sin acuerdo previo. El cliente entrega el material con ficha técnica y hoja de seguridad. No se aceptan sustancias tóxicas no declaradas. Resultados limitados a los ensayos disponibles. El diseño experimental, los tiempos y las condiciones de muestreo se acuerdan previamente con el laboratorio.</t>
  </si>
  <si>
    <t>Servicio de cultivo celular y documentación microscópica: mantenimiento, expansión y conteo de cultivos celulares con registro fotográfico. Incluye mantenimiento de cultivos, subcultivo (pases), expansión, conteo y evaluación de viabilidad y confluencia, con captura de imágenes de microscopía invertida a distintos tiempos. Entrega de reporte de crecimiento y archivo de imágenes.</t>
  </si>
  <si>
    <t>Investigadores, estudiantes de pregrado y posgrado, otros centros de investigación y empresas que requieran apoyo en cultivo celular.</t>
  </si>
  <si>
    <t>Campana de flujo laminar, incubadora de CO₂, microscopio invertido con cámara, contador de células, centrífuga y baño María.</t>
  </si>
  <si>
    <t>Medios y suplementos, tripsina, PBS, azul de tripano, plásticos de cultivo estériles, desinfectantes y material de protección personal.</t>
  </si>
  <si>
    <t>Técnico o investigador con experiencia en técnica aséptica y cultivo celular.</t>
  </si>
  <si>
    <t>Por sesión de trabajo, de 2 a 4 horas. El servicio completo depende de la duración del cultivo (de días a semanas).</t>
  </si>
  <si>
    <t>Capacidad limitada por disponer de una sola incubadora de CO₂. Solo se aceptan líneas celulares previamente aprobadas y con certificado de origen. No se manejará material con riesgo biológico alto. Las agendas se asignan por disponibilidad. El servicio no incluye ensayos moleculares ni criopreservación.</t>
  </si>
  <si>
    <t>Análisis de pH, calcio y flúor en muestras líquidas y materiales. Determinación de pH y concentración de calcio y flúor en soluciones, saliva y eluados de materiales dentales. Medición con multiparámetro en muestras acuosas: colutorios, dentífricos diluidos, soluciones de remineralización, saliva y medios de inmersión de materiales dentales (liberación iónica). Incluye calibración del equipo, medición con réplicas e informe de resultados.</t>
  </si>
  <si>
    <t>Industria de productos de higiene oral, investigadores, estudiantes de pregrado y posgrado y clínicas.</t>
  </si>
  <si>
    <t>Multiparámetro (pH, calcio, flúor), balanza, vortex, centrífuga y baño María.</t>
  </si>
  <si>
    <t>Soluciones estándar y buffers de calibración, soluciones ajustadoras de fuerza iónica (TISAB), agua desionizada, recipientes y puntas, material de limpieza de electrodos y cristalería.</t>
  </si>
  <si>
    <t>Técnico o investigador con formación en química analítica o ciencias biológicas.</t>
  </si>
  <si>
    <t>De 1 a 2 horas por tanda de muestras, más 2 a 3 días hábiles para el informe.</t>
  </si>
  <si>
    <t>Solo muestras líquidas o extractos acuosos. Volumen mínimo de muestra y condiciones de conservación a acordar. Las muestras biológicas (saliva) solo se aceptan con consentimiento informado y bajo condiciones de bioseguridad. No se analizan muestras corrosivas o peligrosas no declaradas.</t>
  </si>
  <si>
    <t>Arrendamiento de equipos</t>
  </si>
  <si>
    <t>Uso asistido de equipos de cultivo celular, análisis u otros. Uso supervisado de equipos de laboratorio por hora o por sesión. Acceso a campana de flujo laminar, centrífuga, contador de células, microscopio invertido con cámara, baño María, vortex, multiparámetro u otros, siempre con personal del laboratorio presente o con usuarios previamente capacitados y autorizados.</t>
  </si>
  <si>
    <t>Investigadores externos, estudiantes de pregrado y posgrado y otros laboratorios o proyectos.</t>
  </si>
  <si>
    <t>Campana de flujo laminar, centrífuga, contador de células, microscopio invertido con cámara, baño María, vortex, multiparámetro u otros equipos, según la solicitud.</t>
  </si>
  <si>
    <t>A cargo del usuario, salvo acuerdo contrario. El laboratorio puede proveer insumos con costo adicional.</t>
  </si>
  <si>
    <t>Técnico supervisor del laboratorio.</t>
  </si>
  <si>
    <t>Bloques de 2 a 4 horas, sujetos a reserva previa.</t>
  </si>
  <si>
    <t>Los equipos no pueden salir de la universidad. El uso está condicionado a una inducción en bioseguridad y buenas prácticas. El usuario acepta las normas del laboratorio, horarios y disponibilidad, y es responsable de los daños por mal uso. Se prohíbe el uso de material biológico no autorizado.</t>
  </si>
  <si>
    <t>Consultoría científica y técnica en investigación odontológica. Asesoría en diseño de estudios in vitro u otros, evaluación de biomateriales y bioseguridad. Apoyo en diseño experimental, selección de ensayos de biocompatibilidad y fisicoquímicos, elaboración de protocolos, interpretación de resultados, redacción de secciones metodológicas y orientación sobre bioseguridad y manejo de muestras biológicas.</t>
  </si>
  <si>
    <t>Empresas del sector salud, clínicas, investigadores y estudiantes de pregrado o posgrado.</t>
  </si>
  <si>
    <t>No requiere equipos. Se presta en oficina o laboratorio.</t>
  </si>
  <si>
    <t>No requiere reactivos.</t>
  </si>
  <si>
    <t>Investigador con formación en ciencias biológicas y áreas afines, con experiencia en investigación odontológica.</t>
  </si>
  <si>
    <t>Reunión inicial de 1 a 2 horas; entrega de informe o protocolo en 5 a 10 días hábiles según complejidad.</t>
  </si>
  <si>
    <t>No constituye certificación ni asesoría clínica. Se firma acuerdo de confidencialidad cuando aplique. Los alcances se definen en una propuesta previa.</t>
  </si>
  <si>
    <t>Banco y Biobanco de Dientes Humanos Dr. Eduardo Khouri Diep</t>
  </si>
  <si>
    <t>Radiografía digital</t>
  </si>
  <si>
    <t>Radiografía digital de muestras dentales. Captura de imágenes radiográficas digitales de dientes extraídos y modelos para observar anatomía radicular, número y curvatura de conductos, obturaciones y resultados de instrumentación o tratamientos experimentales. Incluye entrega de imágenes en formato digital e informe descriptivo básico.</t>
  </si>
  <si>
    <t>Investigadores, estudiantes de pregrado y posgrado, empresas de instrumental endodóntico y clínicos.</t>
  </si>
  <si>
    <t>Radiovisiógrafo con tablet integrada; fuente de rayos X o equipo de radiología disponible.</t>
  </si>
  <si>
    <t>Barreras de protección del sensor, soportes de posicionamiento y material de bioseguridad.</t>
  </si>
  <si>
    <t>Personal capacitado en radiología odontológica y protección radiológica.</t>
  </si>
  <si>
    <t>De 15 a 30 minutos por muestra; entrega de archivos en 3 a 5 días hábiles.</t>
  </si>
  <si>
    <t>Solo muestras dentales extraídas, previamente desinfectadas. Sujeto a las normas de protección radiológica. El equipo no sale de la institución.</t>
  </si>
  <si>
    <t>Pruebas endodónticas</t>
  </si>
  <si>
    <t>Instrumentación endodóntica ex vivo y pruebas experimentales en dientes extraídos. Preparación biomecánica de conductos radiculares ex vivo con motores endodónticos X-Smart de Dentsply y Eighteeth, para evaluar sistemas de limas, secuencias de instrumentación, tiempos de trabajo y resultados radiográficos. Incluye selección y preparación de dientes, instrumentación, radiografía de control e informe.</t>
  </si>
  <si>
    <t>Fabricantes y distribuidores de instrumental endodóntico, investigadores, estudiantes de pregrado y posgrado y programas de especialidad.</t>
  </si>
  <si>
    <t>Motores endodónticos X-Smart y Eighteeth, radiovisiógrafo, microscopio binocular, ultrasonido y nevera.</t>
  </si>
  <si>
    <t>Limas y sistemas aportados por el cliente o por el laboratorio, irrigantes, jeringas, agujas, material de protección y dientes del biobanco.</t>
  </si>
  <si>
    <t>Odontólogo o endodoncista investigador y un asistente técnico.</t>
  </si>
  <si>
    <t>De 1 a 3 semanas según el tamaño de la muestra y el diseño del estudio.</t>
  </si>
  <si>
    <t>Uso de dientes del biobanco con trazabilidad y aprobación ética vigente. Los resultados son experimentales ex vivo y no sustituyen estudios clínicos. El cliente debe entregar el material de prueba con ficha técnica.</t>
  </si>
  <si>
    <t>Preparación de muestras</t>
  </si>
  <si>
    <t>Preparación, limpieza y caracterización morfológica de dientes extraídos. Procesamiento de dientes extraídos y observación al microscopio. Limpieza, eliminación de tejidos blandos y cálculo mediante ultrasonido, desinfección según protocolo validado, clasificación morfológica y observación al microscopio óptico binocular, con registro de características (tipo de diente, estado, defectos, caries, desgaste, etc.). Entrega de muestras preparadas e informe de caracterización.</t>
  </si>
  <si>
    <t>Investigadores, estudiantes de pregrado y posgrado y laboratorios de materiales dentales.</t>
  </si>
  <si>
    <t>Equipo de limpieza ultrasónica, puntas ultrasónicas, microscopio binocular ZEISS Primotech y nevera.</t>
  </si>
  <si>
    <t>Soluciones desinfectantes, solución salina, recipientes rotulados, material de bioseguridad, material de registro y solución de preservación.</t>
  </si>
  <si>
    <t>Técnico capacitado en bioseguridad y manejo de muestras dentales.</t>
  </si>
  <si>
    <t>De 3 a 5 días hábiles para lotes pequeños (hasta 30 dientes); los lotes mayores se acuerdan.</t>
  </si>
  <si>
    <t>La observación microscópica es morfológica básica; no incluye histología ni microscopía electrónica. Solo se procesan dientes con consentimiento informado y documentación de origen.</t>
  </si>
  <si>
    <t>nd9304@unphu.edu.do</t>
  </si>
  <si>
    <t>Consultoría Composición Florística</t>
  </si>
  <si>
    <t>Capacitacion Herbario</t>
  </si>
  <si>
    <t>Consultoría Listados Floristicos</t>
  </si>
  <si>
    <t>Analisis Quimico-Contenido de Polifenoles</t>
  </si>
  <si>
    <t>Análisis Químico-Flavonoides</t>
  </si>
  <si>
    <t>Análisis Químico-HPLC</t>
  </si>
  <si>
    <t>Consultoria-Residuos</t>
  </si>
  <si>
    <t>Consultoria-Quimica</t>
  </si>
  <si>
    <t>Consultoria-Biologicas</t>
  </si>
  <si>
    <t>Laboratorios que prestan servicios:</t>
  </si>
  <si>
    <t>Total Servicios Prestados: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</si>
</sst>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2" fillId="0" borderId="0" xfId="0" applyFont="1"/>
    <xf numFmtId="0" fontId="3" fillId="0" borderId="0" xfId="1"/>
    <xf numFmtId="0" fontId="0" fillId="0" borderId="0" xfId="0" applyNumberFormat="1" applyFont="1" applyFill="1" applyBorder="1" applyAlignment="1">
      <alignment wrapText="1"/>
    </xf>
    <xf numFmtId="0" fontId="3" fillId="0" borderId="0" xfId="1" applyNumberFormat="1" applyFill="1" applyBorder="1" applyAlignment="1">
      <alignment wrapText="1"/>
    </xf>
    <xf numFmtId="0" fontId="1" fillId="0" borderId="0" xfId="0" applyFont="1"/>
  </cellXfs>
  <cellStyles count="2">
    <cellStyle name="Hipervínculo" xfId="1" xr:uid="{00000000-0005-0000-0000-000000000000}"/>
    <cellStyle name="Normal" xfId="0" builtinId="0"/>
  </cellStyles>
  <dxfs count="3">
    <dxf>
      <font>
        <color theme="9" tint="-0.24994659260841701"/>
      </font>
    </dxf>
    <dxf>
      <font>
        <color auto="1"/>
      </font>
      <fill>
        <patternFill>
          <bgColor theme="9" tint="-0.49995422223578601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nunez@unphu.edu.do" TargetMode="External"/><Relationship Id="rId13" Type="http://schemas.openxmlformats.org/officeDocument/2006/relationships/hyperlink" Target="mailto:nd9304@unphu.edu.do" TargetMode="External"/><Relationship Id="rId3" Type="http://schemas.openxmlformats.org/officeDocument/2006/relationships/hyperlink" Target="mailto:alnunez@unphu.edu.do" TargetMode="External"/><Relationship Id="rId7" Type="http://schemas.openxmlformats.org/officeDocument/2006/relationships/hyperlink" Target="mailto:alnunez@unphu.edu.do" TargetMode="External"/><Relationship Id="rId12" Type="http://schemas.openxmlformats.org/officeDocument/2006/relationships/hyperlink" Target="mailto:alnunez@unphu.edu.do" TargetMode="External"/><Relationship Id="rId2" Type="http://schemas.openxmlformats.org/officeDocument/2006/relationships/hyperlink" Target="mailto:alnunez@unphu.edu.do" TargetMode="External"/><Relationship Id="rId1" Type="http://schemas.openxmlformats.org/officeDocument/2006/relationships/hyperlink" Target="mailto:alnunez@unphu.edu.do" TargetMode="External"/><Relationship Id="rId6" Type="http://schemas.openxmlformats.org/officeDocument/2006/relationships/hyperlink" Target="mailto:alnunez@unphu.edu.do" TargetMode="External"/><Relationship Id="rId11" Type="http://schemas.openxmlformats.org/officeDocument/2006/relationships/hyperlink" Target="mailto:alnunez@unphu.edu.do" TargetMode="External"/><Relationship Id="rId5" Type="http://schemas.openxmlformats.org/officeDocument/2006/relationships/hyperlink" Target="mailto:alnunez@unphu.edu.do" TargetMode="External"/><Relationship Id="rId10" Type="http://schemas.openxmlformats.org/officeDocument/2006/relationships/hyperlink" Target="mailto:alnunez@unphu.edu.do" TargetMode="External"/><Relationship Id="rId4" Type="http://schemas.openxmlformats.org/officeDocument/2006/relationships/hyperlink" Target="mailto:alnunez@unphu.edu.do" TargetMode="External"/><Relationship Id="rId9" Type="http://schemas.openxmlformats.org/officeDocument/2006/relationships/hyperlink" Target="mailto:alnunez@unphu.edu.do" TargetMode="External"/><Relationship Id="rId14" Type="http://schemas.openxmlformats.org/officeDocument/2006/relationships/hyperlink" Target="mailto:nd9304@unphu.edu.d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zoomScale="62" zoomScaleNormal="62" workbookViewId="0">
      <selection activeCell="C2" sqref="C2"/>
    </sheetView>
  </sheetViews>
  <sheetFormatPr baseColWidth="10" defaultColWidth="9.1796875" defaultRowHeight="14.5" x14ac:dyDescent="0.35"/>
  <cols>
    <col min="1" max="1" width="64.1796875" customWidth="1"/>
    <col min="2" max="2" width="50.26953125" customWidth="1"/>
    <col min="3" max="3" width="32.54296875" customWidth="1"/>
    <col min="4" max="4" width="15.7265625" customWidth="1"/>
    <col min="5" max="5" width="31.54296875" customWidth="1"/>
    <col min="6" max="6" width="20.54296875" customWidth="1"/>
    <col min="7" max="7" width="18.26953125" customWidth="1"/>
    <col min="8" max="8" width="39.1796875" customWidth="1"/>
    <col min="9" max="9" width="25" customWidth="1"/>
    <col min="10" max="10" width="43.26953125" customWidth="1"/>
    <col min="11" max="11" width="53" customWidth="1"/>
  </cols>
  <sheetData>
    <row r="1" spans="1:11" s="2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9.5" x14ac:dyDescent="0.35">
      <c r="A2" t="s">
        <v>11</v>
      </c>
      <c r="B2" t="s">
        <v>12</v>
      </c>
      <c r="C2" t="s">
        <v>174</v>
      </c>
      <c r="D2" t="s">
        <v>14</v>
      </c>
      <c r="E2" s="3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4" t="s">
        <v>20</v>
      </c>
      <c r="K2" s="1" t="s">
        <v>21</v>
      </c>
    </row>
    <row r="3" spans="1:11" ht="87" x14ac:dyDescent="0.35">
      <c r="A3" t="s">
        <v>11</v>
      </c>
      <c r="B3" t="s">
        <v>12</v>
      </c>
      <c r="C3" t="s">
        <v>175</v>
      </c>
      <c r="D3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ht="72.5" x14ac:dyDescent="0.35">
      <c r="A4" t="s">
        <v>11</v>
      </c>
      <c r="B4" t="s">
        <v>12</v>
      </c>
      <c r="C4" t="s">
        <v>175</v>
      </c>
      <c r="D4" t="s">
        <v>14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 t="s">
        <v>35</v>
      </c>
      <c r="K4" s="1" t="s">
        <v>36</v>
      </c>
    </row>
    <row r="5" spans="1:11" ht="72.5" x14ac:dyDescent="0.35">
      <c r="A5" t="s">
        <v>11</v>
      </c>
      <c r="B5" t="s">
        <v>12</v>
      </c>
      <c r="C5" t="s">
        <v>175</v>
      </c>
      <c r="D5" t="s">
        <v>37</v>
      </c>
      <c r="E5" s="1" t="s">
        <v>38</v>
      </c>
      <c r="F5" s="4" t="s">
        <v>39</v>
      </c>
      <c r="G5" s="1" t="s">
        <v>40</v>
      </c>
      <c r="H5" s="5" t="s">
        <v>41</v>
      </c>
      <c r="I5" s="1" t="s">
        <v>34</v>
      </c>
      <c r="J5" s="1" t="s">
        <v>42</v>
      </c>
      <c r="K5" s="1" t="s">
        <v>43</v>
      </c>
    </row>
    <row r="6" spans="1:11" ht="72.5" x14ac:dyDescent="0.35">
      <c r="A6" t="s">
        <v>11</v>
      </c>
      <c r="B6" t="s">
        <v>12</v>
      </c>
      <c r="C6" t="s">
        <v>176</v>
      </c>
      <c r="D6" t="s">
        <v>37</v>
      </c>
      <c r="E6" s="4" t="s">
        <v>44</v>
      </c>
      <c r="F6" s="1" t="s">
        <v>45</v>
      </c>
      <c r="G6" s="1" t="s">
        <v>40</v>
      </c>
      <c r="H6" s="1" t="s">
        <v>46</v>
      </c>
      <c r="I6" s="1" t="s">
        <v>47</v>
      </c>
      <c r="J6" s="1" t="s">
        <v>48</v>
      </c>
      <c r="K6" s="1" t="s">
        <v>49</v>
      </c>
    </row>
    <row r="7" spans="1:11" ht="58" x14ac:dyDescent="0.35">
      <c r="A7" t="s">
        <v>50</v>
      </c>
      <c r="B7" s="6" t="s">
        <v>51</v>
      </c>
      <c r="C7" t="s">
        <v>177</v>
      </c>
      <c r="D7" t="s">
        <v>14</v>
      </c>
      <c r="E7" s="4" t="s">
        <v>53</v>
      </c>
      <c r="F7" s="4" t="s">
        <v>54</v>
      </c>
      <c r="G7" s="4" t="s">
        <v>55</v>
      </c>
      <c r="H7" s="4" t="s">
        <v>56</v>
      </c>
      <c r="I7" s="1" t="s">
        <v>57</v>
      </c>
      <c r="J7" s="1" t="s">
        <v>55</v>
      </c>
      <c r="K7" s="1" t="s">
        <v>55</v>
      </c>
    </row>
    <row r="8" spans="1:11" ht="58" x14ac:dyDescent="0.35">
      <c r="A8" t="s">
        <v>50</v>
      </c>
      <c r="B8" s="6" t="s">
        <v>51</v>
      </c>
      <c r="C8" t="s">
        <v>177</v>
      </c>
      <c r="D8" t="s">
        <v>14</v>
      </c>
      <c r="E8" s="4" t="s">
        <v>58</v>
      </c>
      <c r="F8" s="4" t="s">
        <v>54</v>
      </c>
      <c r="G8" s="4" t="s">
        <v>55</v>
      </c>
      <c r="H8" s="4" t="s">
        <v>55</v>
      </c>
      <c r="I8" s="1" t="s">
        <v>57</v>
      </c>
      <c r="J8" s="1" t="s">
        <v>55</v>
      </c>
      <c r="K8" s="1" t="s">
        <v>55</v>
      </c>
    </row>
    <row r="9" spans="1:11" ht="58" x14ac:dyDescent="0.35">
      <c r="A9" t="s">
        <v>50</v>
      </c>
      <c r="B9" s="6" t="s">
        <v>51</v>
      </c>
      <c r="C9" t="s">
        <v>178</v>
      </c>
      <c r="D9" t="s">
        <v>14</v>
      </c>
      <c r="E9" s="4" t="s">
        <v>59</v>
      </c>
      <c r="F9" s="4" t="s">
        <v>54</v>
      </c>
      <c r="G9" s="4" t="s">
        <v>55</v>
      </c>
      <c r="H9" s="4" t="s">
        <v>55</v>
      </c>
      <c r="I9" s="1" t="s">
        <v>57</v>
      </c>
      <c r="J9" s="1" t="s">
        <v>55</v>
      </c>
      <c r="K9" s="1" t="s">
        <v>55</v>
      </c>
    </row>
    <row r="10" spans="1:11" ht="58" x14ac:dyDescent="0.35">
      <c r="A10" t="s">
        <v>50</v>
      </c>
      <c r="B10" s="6" t="s">
        <v>51</v>
      </c>
      <c r="C10" t="s">
        <v>179</v>
      </c>
      <c r="D10" t="s">
        <v>14</v>
      </c>
      <c r="E10" s="4" t="s">
        <v>60</v>
      </c>
      <c r="F10" s="4" t="s">
        <v>54</v>
      </c>
      <c r="G10" s="4" t="s">
        <v>55</v>
      </c>
      <c r="H10" s="4" t="s">
        <v>55</v>
      </c>
      <c r="I10" s="1" t="s">
        <v>57</v>
      </c>
      <c r="J10" s="1" t="s">
        <v>55</v>
      </c>
      <c r="K10" s="1" t="s">
        <v>55</v>
      </c>
    </row>
    <row r="11" spans="1:11" ht="58" x14ac:dyDescent="0.35">
      <c r="A11" t="s">
        <v>50</v>
      </c>
      <c r="B11" s="6" t="s">
        <v>51</v>
      </c>
      <c r="C11" t="s">
        <v>179</v>
      </c>
      <c r="D11" t="s">
        <v>14</v>
      </c>
      <c r="E11" s="4" t="s">
        <v>61</v>
      </c>
      <c r="F11" s="4" t="s">
        <v>54</v>
      </c>
      <c r="G11" s="4" t="s">
        <v>55</v>
      </c>
      <c r="H11" s="4" t="s">
        <v>55</v>
      </c>
      <c r="I11" s="1" t="s">
        <v>57</v>
      </c>
      <c r="J11" s="1" t="s">
        <v>55</v>
      </c>
      <c r="K11" s="1" t="s">
        <v>55</v>
      </c>
    </row>
    <row r="12" spans="1:11" ht="58" x14ac:dyDescent="0.35">
      <c r="A12" t="s">
        <v>50</v>
      </c>
      <c r="B12" s="6" t="s">
        <v>51</v>
      </c>
      <c r="C12" t="s">
        <v>179</v>
      </c>
      <c r="D12" t="s">
        <v>14</v>
      </c>
      <c r="E12" s="4" t="s">
        <v>62</v>
      </c>
      <c r="F12" s="4" t="s">
        <v>54</v>
      </c>
      <c r="G12" s="4" t="s">
        <v>55</v>
      </c>
      <c r="H12" s="4" t="s">
        <v>55</v>
      </c>
      <c r="I12" s="1" t="s">
        <v>57</v>
      </c>
      <c r="J12" s="1" t="s">
        <v>55</v>
      </c>
      <c r="K12" s="1" t="s">
        <v>55</v>
      </c>
    </row>
    <row r="13" spans="1:11" ht="58" x14ac:dyDescent="0.35">
      <c r="A13" t="s">
        <v>50</v>
      </c>
      <c r="B13" s="6" t="s">
        <v>51</v>
      </c>
      <c r="C13" t="s">
        <v>52</v>
      </c>
      <c r="D13" t="s">
        <v>14</v>
      </c>
      <c r="E13" s="4" t="s">
        <v>63</v>
      </c>
      <c r="F13" s="4" t="s">
        <v>54</v>
      </c>
      <c r="G13" s="4" t="s">
        <v>55</v>
      </c>
      <c r="H13" s="4" t="s">
        <v>55</v>
      </c>
      <c r="I13" s="1" t="s">
        <v>57</v>
      </c>
      <c r="J13" s="1" t="s">
        <v>55</v>
      </c>
      <c r="K13" s="1" t="s">
        <v>55</v>
      </c>
    </row>
    <row r="14" spans="1:11" ht="58" x14ac:dyDescent="0.35">
      <c r="A14" t="s">
        <v>50</v>
      </c>
      <c r="B14" s="6" t="s">
        <v>51</v>
      </c>
      <c r="C14" t="s">
        <v>180</v>
      </c>
      <c r="D14" t="s">
        <v>37</v>
      </c>
      <c r="E14" s="4" t="s">
        <v>64</v>
      </c>
      <c r="F14" s="4" t="s">
        <v>54</v>
      </c>
      <c r="G14" s="4" t="s">
        <v>65</v>
      </c>
      <c r="H14" s="4" t="s">
        <v>66</v>
      </c>
      <c r="I14" s="1" t="s">
        <v>57</v>
      </c>
      <c r="J14" s="1" t="s">
        <v>55</v>
      </c>
      <c r="K14" s="1" t="s">
        <v>55</v>
      </c>
    </row>
    <row r="15" spans="1:11" ht="58" x14ac:dyDescent="0.35">
      <c r="A15" t="s">
        <v>50</v>
      </c>
      <c r="B15" s="6" t="s">
        <v>51</v>
      </c>
      <c r="C15" t="s">
        <v>181</v>
      </c>
      <c r="D15" t="s">
        <v>37</v>
      </c>
      <c r="E15" s="4" t="s">
        <v>67</v>
      </c>
      <c r="F15" s="4" t="s">
        <v>54</v>
      </c>
      <c r="G15" s="4" t="s">
        <v>65</v>
      </c>
      <c r="H15" s="4" t="s">
        <v>66</v>
      </c>
      <c r="I15" s="1" t="s">
        <v>57</v>
      </c>
      <c r="J15" s="1" t="s">
        <v>55</v>
      </c>
      <c r="K15" s="1" t="s">
        <v>55</v>
      </c>
    </row>
    <row r="16" spans="1:11" ht="72.5" x14ac:dyDescent="0.35">
      <c r="A16" t="s">
        <v>50</v>
      </c>
      <c r="B16" s="6" t="s">
        <v>51</v>
      </c>
      <c r="C16" t="s">
        <v>181</v>
      </c>
      <c r="D16" t="s">
        <v>37</v>
      </c>
      <c r="E16" s="4" t="s">
        <v>68</v>
      </c>
      <c r="F16" s="4" t="s">
        <v>54</v>
      </c>
      <c r="G16" s="4" t="s">
        <v>65</v>
      </c>
      <c r="H16" s="4" t="s">
        <v>66</v>
      </c>
      <c r="I16" s="1" t="s">
        <v>57</v>
      </c>
      <c r="J16" s="1" t="s">
        <v>55</v>
      </c>
      <c r="K16" s="1" t="s">
        <v>55</v>
      </c>
    </row>
    <row r="17" spans="1:11" ht="58" x14ac:dyDescent="0.35">
      <c r="A17" t="s">
        <v>50</v>
      </c>
      <c r="B17" s="6" t="s">
        <v>51</v>
      </c>
      <c r="C17" t="s">
        <v>181</v>
      </c>
      <c r="D17" t="s">
        <v>37</v>
      </c>
      <c r="E17" s="4" t="s">
        <v>69</v>
      </c>
      <c r="F17" s="4" t="s">
        <v>54</v>
      </c>
      <c r="G17" s="4" t="s">
        <v>65</v>
      </c>
      <c r="H17" s="4" t="s">
        <v>66</v>
      </c>
      <c r="I17" s="1" t="s">
        <v>57</v>
      </c>
      <c r="J17" s="1" t="s">
        <v>55</v>
      </c>
      <c r="K17" s="1" t="s">
        <v>55</v>
      </c>
    </row>
    <row r="18" spans="1:11" ht="58" x14ac:dyDescent="0.35">
      <c r="A18" t="s">
        <v>50</v>
      </c>
      <c r="B18" s="6" t="s">
        <v>51</v>
      </c>
      <c r="C18" t="s">
        <v>181</v>
      </c>
      <c r="D18" t="s">
        <v>37</v>
      </c>
      <c r="E18" s="4" t="s">
        <v>70</v>
      </c>
      <c r="F18" s="4" t="s">
        <v>54</v>
      </c>
      <c r="G18" s="4" t="s">
        <v>65</v>
      </c>
      <c r="H18" s="4" t="s">
        <v>66</v>
      </c>
      <c r="I18" s="1" t="s">
        <v>57</v>
      </c>
      <c r="J18" s="1" t="s">
        <v>55</v>
      </c>
      <c r="K18" s="1" t="s">
        <v>55</v>
      </c>
    </row>
    <row r="19" spans="1:11" ht="232" x14ac:dyDescent="0.35">
      <c r="A19" t="s">
        <v>71</v>
      </c>
      <c r="B19" t="s">
        <v>72</v>
      </c>
      <c r="C19" t="s">
        <v>182</v>
      </c>
      <c r="D19" t="s">
        <v>14</v>
      </c>
      <c r="E19" s="4" t="s">
        <v>73</v>
      </c>
      <c r="F19" s="4" t="s">
        <v>74</v>
      </c>
      <c r="G19" s="1" t="s">
        <v>75</v>
      </c>
      <c r="H19" s="1" t="s">
        <v>76</v>
      </c>
      <c r="I19" s="1" t="s">
        <v>77</v>
      </c>
      <c r="J19" s="1" t="s">
        <v>78</v>
      </c>
      <c r="K19" s="1" t="s">
        <v>21</v>
      </c>
    </row>
    <row r="20" spans="1:11" ht="290" x14ac:dyDescent="0.35">
      <c r="A20" t="s">
        <v>71</v>
      </c>
      <c r="B20" t="s">
        <v>72</v>
      </c>
      <c r="C20" t="s">
        <v>182</v>
      </c>
      <c r="D20" t="s">
        <v>14</v>
      </c>
      <c r="E20" s="4" t="s">
        <v>79</v>
      </c>
      <c r="F20" s="4" t="s">
        <v>80</v>
      </c>
      <c r="G20" s="1" t="s">
        <v>81</v>
      </c>
      <c r="H20" s="1" t="s">
        <v>82</v>
      </c>
      <c r="I20" s="1" t="s">
        <v>83</v>
      </c>
      <c r="J20" s="1" t="s">
        <v>78</v>
      </c>
      <c r="K20" s="1" t="s">
        <v>21</v>
      </c>
    </row>
    <row r="21" spans="1:11" ht="188.5" x14ac:dyDescent="0.35">
      <c r="A21" t="s">
        <v>71</v>
      </c>
      <c r="B21" t="s">
        <v>72</v>
      </c>
      <c r="C21" t="s">
        <v>182</v>
      </c>
      <c r="D21" t="s">
        <v>14</v>
      </c>
      <c r="E21" s="4" t="s">
        <v>84</v>
      </c>
      <c r="F21" s="4" t="s">
        <v>74</v>
      </c>
      <c r="G21" s="1" t="s">
        <v>85</v>
      </c>
      <c r="H21" s="1" t="s">
        <v>86</v>
      </c>
      <c r="I21" s="1" t="s">
        <v>87</v>
      </c>
      <c r="J21" s="1" t="s">
        <v>78</v>
      </c>
      <c r="K21" s="1" t="s">
        <v>21</v>
      </c>
    </row>
    <row r="22" spans="1:11" ht="188.5" x14ac:dyDescent="0.35">
      <c r="A22" t="s">
        <v>71</v>
      </c>
      <c r="B22" t="s">
        <v>72</v>
      </c>
      <c r="C22" t="s">
        <v>182</v>
      </c>
      <c r="D22" t="s">
        <v>14</v>
      </c>
      <c r="E22" s="4" t="s">
        <v>88</v>
      </c>
      <c r="F22" s="4" t="s">
        <v>74</v>
      </c>
      <c r="G22" s="1" t="s">
        <v>85</v>
      </c>
      <c r="H22" s="1" t="s">
        <v>89</v>
      </c>
      <c r="I22" s="1" t="s">
        <v>87</v>
      </c>
      <c r="J22" s="1" t="s">
        <v>78</v>
      </c>
      <c r="K22" s="1" t="s">
        <v>21</v>
      </c>
    </row>
    <row r="23" spans="1:11" ht="145" x14ac:dyDescent="0.35">
      <c r="A23" t="s">
        <v>71</v>
      </c>
      <c r="B23" t="s">
        <v>72</v>
      </c>
      <c r="C23" t="s">
        <v>22</v>
      </c>
      <c r="D23" t="s">
        <v>14</v>
      </c>
      <c r="E23" s="4" t="s">
        <v>90</v>
      </c>
      <c r="F23" s="4" t="s">
        <v>91</v>
      </c>
      <c r="G23" s="1" t="s">
        <v>92</v>
      </c>
      <c r="H23" s="1" t="s">
        <v>93</v>
      </c>
      <c r="I23" s="1" t="s">
        <v>94</v>
      </c>
      <c r="J23" s="1" t="s">
        <v>42</v>
      </c>
      <c r="K23" s="1" t="s">
        <v>43</v>
      </c>
    </row>
    <row r="24" spans="1:11" ht="87" x14ac:dyDescent="0.35">
      <c r="A24" t="s">
        <v>71</v>
      </c>
      <c r="B24" t="s">
        <v>72</v>
      </c>
      <c r="C24" t="s">
        <v>22</v>
      </c>
      <c r="D24" t="s">
        <v>14</v>
      </c>
      <c r="E24" s="4" t="s">
        <v>95</v>
      </c>
      <c r="F24" s="4" t="s">
        <v>91</v>
      </c>
      <c r="G24" s="1" t="s">
        <v>96</v>
      </c>
      <c r="H24" s="1" t="s">
        <v>93</v>
      </c>
      <c r="I24" s="1" t="s">
        <v>94</v>
      </c>
      <c r="J24" s="1" t="s">
        <v>42</v>
      </c>
      <c r="K24" t="s">
        <v>43</v>
      </c>
    </row>
    <row r="25" spans="1:11" ht="246.5" x14ac:dyDescent="0.35">
      <c r="A25" t="s">
        <v>97</v>
      </c>
      <c r="B25" t="s">
        <v>98</v>
      </c>
      <c r="C25" t="s">
        <v>99</v>
      </c>
      <c r="D25" t="s">
        <v>14</v>
      </c>
      <c r="E25" s="4" t="s">
        <v>100</v>
      </c>
      <c r="F25" s="4" t="s">
        <v>101</v>
      </c>
      <c r="G25" s="1" t="s">
        <v>102</v>
      </c>
      <c r="H25" s="1" t="s">
        <v>103</v>
      </c>
      <c r="I25" s="1" t="s">
        <v>104</v>
      </c>
      <c r="J25" s="1" t="s">
        <v>105</v>
      </c>
      <c r="K25" s="1" t="s">
        <v>106</v>
      </c>
    </row>
    <row r="26" spans="1:11" ht="198" customHeight="1" x14ac:dyDescent="0.35">
      <c r="A26" s="7" t="s">
        <v>110</v>
      </c>
      <c r="B26" s="8" t="s">
        <v>173</v>
      </c>
      <c r="C26" s="7" t="s">
        <v>111</v>
      </c>
      <c r="D26" s="7" t="s">
        <v>14</v>
      </c>
      <c r="E26" s="7" t="s">
        <v>112</v>
      </c>
      <c r="F26" s="7" t="s">
        <v>113</v>
      </c>
      <c r="G26" s="7" t="s">
        <v>114</v>
      </c>
      <c r="H26" s="7" t="s">
        <v>115</v>
      </c>
      <c r="I26" s="7" t="s">
        <v>116</v>
      </c>
      <c r="J26" s="7" t="s">
        <v>117</v>
      </c>
      <c r="K26" s="7" t="s">
        <v>118</v>
      </c>
    </row>
    <row r="27" spans="1:11" ht="145.15" customHeight="1" x14ac:dyDescent="0.35">
      <c r="A27" s="7" t="s">
        <v>110</v>
      </c>
      <c r="B27" s="8" t="s">
        <v>173</v>
      </c>
      <c r="C27" s="7" t="s">
        <v>111</v>
      </c>
      <c r="D27" s="7" t="s">
        <v>14</v>
      </c>
      <c r="E27" s="7" t="s">
        <v>119</v>
      </c>
      <c r="F27" s="7" t="s">
        <v>120</v>
      </c>
      <c r="G27" s="7" t="s">
        <v>121</v>
      </c>
      <c r="H27" s="7" t="s">
        <v>122</v>
      </c>
      <c r="I27" s="7" t="s">
        <v>123</v>
      </c>
      <c r="J27" s="7" t="s">
        <v>124</v>
      </c>
      <c r="K27" s="7" t="s">
        <v>125</v>
      </c>
    </row>
    <row r="28" spans="1:11" ht="145.15" customHeight="1" x14ac:dyDescent="0.35">
      <c r="A28" s="7" t="s">
        <v>110</v>
      </c>
      <c r="B28" s="8" t="s">
        <v>173</v>
      </c>
      <c r="C28" s="7" t="s">
        <v>52</v>
      </c>
      <c r="D28" s="7" t="s">
        <v>14</v>
      </c>
      <c r="E28" s="7" t="s">
        <v>126</v>
      </c>
      <c r="F28" s="7" t="s">
        <v>127</v>
      </c>
      <c r="G28" s="7" t="s">
        <v>128</v>
      </c>
      <c r="H28" s="7" t="s">
        <v>129</v>
      </c>
      <c r="I28" s="7" t="s">
        <v>130</v>
      </c>
      <c r="J28" s="7" t="s">
        <v>131</v>
      </c>
      <c r="K28" s="7" t="s">
        <v>132</v>
      </c>
    </row>
    <row r="29" spans="1:11" ht="132" customHeight="1" x14ac:dyDescent="0.35">
      <c r="A29" s="7" t="s">
        <v>110</v>
      </c>
      <c r="B29" s="8" t="s">
        <v>173</v>
      </c>
      <c r="C29" s="7" t="s">
        <v>133</v>
      </c>
      <c r="D29" s="7" t="s">
        <v>14</v>
      </c>
      <c r="E29" s="7" t="s">
        <v>134</v>
      </c>
      <c r="F29" s="7" t="s">
        <v>135</v>
      </c>
      <c r="G29" s="7" t="s">
        <v>136</v>
      </c>
      <c r="H29" s="7" t="s">
        <v>137</v>
      </c>
      <c r="I29" s="7" t="s">
        <v>138</v>
      </c>
      <c r="J29" s="7" t="s">
        <v>139</v>
      </c>
      <c r="K29" s="7" t="s">
        <v>140</v>
      </c>
    </row>
    <row r="30" spans="1:11" ht="158.5" customHeight="1" x14ac:dyDescent="0.35">
      <c r="A30" s="7" t="s">
        <v>110</v>
      </c>
      <c r="B30" s="8" t="s">
        <v>173</v>
      </c>
      <c r="C30" s="7" t="s">
        <v>13</v>
      </c>
      <c r="D30" s="7" t="s">
        <v>37</v>
      </c>
      <c r="E30" s="7" t="s">
        <v>141</v>
      </c>
      <c r="F30" s="7" t="s">
        <v>142</v>
      </c>
      <c r="G30" s="7" t="s">
        <v>143</v>
      </c>
      <c r="H30" s="7" t="s">
        <v>144</v>
      </c>
      <c r="I30" s="7" t="s">
        <v>145</v>
      </c>
      <c r="J30" s="7" t="s">
        <v>146</v>
      </c>
      <c r="K30" s="7" t="s">
        <v>147</v>
      </c>
    </row>
    <row r="31" spans="1:11" ht="118.9" customHeight="1" x14ac:dyDescent="0.35">
      <c r="A31" s="7" t="s">
        <v>148</v>
      </c>
      <c r="B31" s="8" t="s">
        <v>173</v>
      </c>
      <c r="C31" s="7" t="s">
        <v>149</v>
      </c>
      <c r="D31" s="7" t="s">
        <v>14</v>
      </c>
      <c r="E31" s="7" t="s">
        <v>150</v>
      </c>
      <c r="F31" s="7" t="s">
        <v>151</v>
      </c>
      <c r="G31" s="7" t="s">
        <v>152</v>
      </c>
      <c r="H31" s="7" t="s">
        <v>153</v>
      </c>
      <c r="I31" s="7" t="s">
        <v>154</v>
      </c>
      <c r="J31" s="7" t="s">
        <v>155</v>
      </c>
      <c r="K31" s="7" t="s">
        <v>156</v>
      </c>
    </row>
    <row r="32" spans="1:11" ht="145.15" customHeight="1" x14ac:dyDescent="0.35">
      <c r="A32" s="7" t="s">
        <v>148</v>
      </c>
      <c r="B32" s="8" t="s">
        <v>173</v>
      </c>
      <c r="C32" s="7" t="s">
        <v>157</v>
      </c>
      <c r="D32" s="7" t="s">
        <v>14</v>
      </c>
      <c r="E32" s="7" t="s">
        <v>158</v>
      </c>
      <c r="F32" s="7" t="s">
        <v>159</v>
      </c>
      <c r="G32" s="7" t="s">
        <v>160</v>
      </c>
      <c r="H32" s="7" t="s">
        <v>161</v>
      </c>
      <c r="I32" s="7" t="s">
        <v>162</v>
      </c>
      <c r="J32" s="7" t="s">
        <v>163</v>
      </c>
      <c r="K32" s="7" t="s">
        <v>164</v>
      </c>
    </row>
    <row r="33" spans="1:11" ht="171.65" customHeight="1" x14ac:dyDescent="0.35">
      <c r="A33" s="7" t="s">
        <v>148</v>
      </c>
      <c r="B33" s="8" t="s">
        <v>173</v>
      </c>
      <c r="C33" s="7" t="s">
        <v>165</v>
      </c>
      <c r="D33" s="7" t="s">
        <v>14</v>
      </c>
      <c r="E33" s="7" t="s">
        <v>166</v>
      </c>
      <c r="F33" s="7" t="s">
        <v>167</v>
      </c>
      <c r="G33" s="7" t="s">
        <v>168</v>
      </c>
      <c r="H33" s="7" t="s">
        <v>169</v>
      </c>
      <c r="I33" s="7" t="s">
        <v>170</v>
      </c>
      <c r="J33" s="7" t="s">
        <v>171</v>
      </c>
      <c r="K33" s="7" t="s">
        <v>172</v>
      </c>
    </row>
  </sheetData>
  <conditionalFormatting sqref="A1:O57">
    <cfRule type="expression" dxfId="2" priority="1">
      <formula>MOD(ROW(),2)=0</formula>
    </cfRule>
    <cfRule type="expression" dxfId="1" priority="2">
      <formula>MOD(ROW(),2)=0</formula>
    </cfRule>
    <cfRule type="expression" dxfId="0" priority="3">
      <formula>MOD(ROW(),2)=0</formula>
    </cfRule>
  </conditionalFormatting>
  <dataValidations count="3">
    <dataValidation type="list" allowBlank="1" showInputMessage="1" showErrorMessage="1" sqref="A2:A67" xr:uid="{00000000-0002-0000-0000-000000000000}">
      <formula1>listaLab</formula1>
    </dataValidation>
    <dataValidation type="list" allowBlank="1" showInputMessage="1" showErrorMessage="1" sqref="C34:C57" xr:uid="{00000000-0002-0000-0000-000001000000}">
      <formula1>listaServicios</formula1>
    </dataValidation>
    <dataValidation type="list" allowBlank="1" showInputMessage="1" showErrorMessage="1" sqref="D2:D57" xr:uid="{00000000-0002-0000-0000-000002000000}">
      <formula1>listaS</formula1>
    </dataValidation>
  </dataValidations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  <hyperlink ref="B11" r:id="rId5" xr:uid="{00000000-0004-0000-0000-000004000000}"/>
    <hyperlink ref="B12" r:id="rId6" xr:uid="{00000000-0004-0000-0000-000005000000}"/>
    <hyperlink ref="B13" r:id="rId7" xr:uid="{00000000-0004-0000-0000-000006000000}"/>
    <hyperlink ref="B14" r:id="rId8" xr:uid="{00000000-0004-0000-0000-000007000000}"/>
    <hyperlink ref="B15" r:id="rId9" xr:uid="{00000000-0004-0000-0000-000008000000}"/>
    <hyperlink ref="B16" r:id="rId10" xr:uid="{00000000-0004-0000-0000-000009000000}"/>
    <hyperlink ref="B17" r:id="rId11" xr:uid="{00000000-0004-0000-0000-00000A000000}"/>
    <hyperlink ref="B18" r:id="rId12" xr:uid="{00000000-0004-0000-0000-00000B000000}"/>
    <hyperlink ref="B26" r:id="rId13" xr:uid="{F972F02D-A7D1-45B1-9625-8CD3762EF637}"/>
    <hyperlink ref="B27:B33" r:id="rId14" display="nd9304@unphu.edu.do" xr:uid="{B87B9367-5431-4996-AA71-F3ABDCA9B1A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4BA6E6-AA69-495C-AF2E-F2C2C6AECD76}">
          <x14:formula1>
            <xm:f>datos!$B$2:$B$28</xm:f>
          </x14:formula1>
          <xm:sqref>C2:C33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A5" sqref="A5"/>
    </sheetView>
  </sheetViews>
  <sheetFormatPr baseColWidth="10" defaultRowHeight="14.5" x14ac:dyDescent="0.35"/>
  <cols>
    <col min="1" max="1" width="64.1796875" customWidth="1"/>
    <col min="2" max="2" width="26.26953125" customWidth="1"/>
  </cols>
  <sheetData>
    <row r="1" spans="1:3" x14ac:dyDescent="0.35">
      <c r="A1" t="s">
        <v>0</v>
      </c>
      <c r="B1" t="s">
        <v>107</v>
      </c>
      <c r="C1" t="s">
        <v>108</v>
      </c>
    </row>
    <row r="2" spans="1:3" x14ac:dyDescent="0.35">
      <c r="A2" t="s">
        <v>11</v>
      </c>
      <c r="B2" t="s">
        <v>13</v>
      </c>
      <c r="C2" t="s">
        <v>14</v>
      </c>
    </row>
    <row r="3" spans="1:3" x14ac:dyDescent="0.35">
      <c r="A3" t="s">
        <v>50</v>
      </c>
      <c r="B3" t="s">
        <v>22</v>
      </c>
      <c r="C3" t="s">
        <v>37</v>
      </c>
    </row>
    <row r="4" spans="1:3" x14ac:dyDescent="0.35">
      <c r="A4" t="s">
        <v>71</v>
      </c>
      <c r="B4" t="s">
        <v>52</v>
      </c>
    </row>
    <row r="5" spans="1:3" x14ac:dyDescent="0.35">
      <c r="A5" t="s">
        <v>109</v>
      </c>
      <c r="B5" t="s">
        <v>99</v>
      </c>
    </row>
    <row r="6" spans="1:3" ht="15" customHeight="1" x14ac:dyDescent="0.35">
      <c r="A6" s="7" t="s">
        <v>110</v>
      </c>
      <c r="B6" s="7" t="s">
        <v>111</v>
      </c>
    </row>
    <row r="7" spans="1:3" ht="15" customHeight="1" x14ac:dyDescent="0.35">
      <c r="A7" s="7" t="s">
        <v>148</v>
      </c>
      <c r="B7" s="7" t="s">
        <v>133</v>
      </c>
    </row>
    <row r="8" spans="1:3" ht="15" customHeight="1" x14ac:dyDescent="0.35">
      <c r="A8" s="7"/>
      <c r="B8" s="7" t="s">
        <v>149</v>
      </c>
    </row>
    <row r="9" spans="1:3" ht="15" customHeight="1" x14ac:dyDescent="0.35">
      <c r="A9" s="7"/>
      <c r="B9" s="7" t="s">
        <v>157</v>
      </c>
    </row>
    <row r="10" spans="1:3" ht="15" customHeight="1" x14ac:dyDescent="0.35">
      <c r="A10" s="7"/>
      <c r="B10" s="7" t="s">
        <v>165</v>
      </c>
    </row>
    <row r="11" spans="1:3" ht="29" x14ac:dyDescent="0.35">
      <c r="B11" s="7" t="s">
        <v>174</v>
      </c>
    </row>
    <row r="12" spans="1:3" x14ac:dyDescent="0.35">
      <c r="B12" s="7" t="s">
        <v>175</v>
      </c>
    </row>
    <row r="13" spans="1:3" ht="29" x14ac:dyDescent="0.35">
      <c r="B13" s="7" t="s">
        <v>176</v>
      </c>
    </row>
    <row r="14" spans="1:3" ht="29" x14ac:dyDescent="0.35">
      <c r="B14" s="7" t="s">
        <v>177</v>
      </c>
    </row>
    <row r="15" spans="1:3" x14ac:dyDescent="0.35">
      <c r="B15" s="7" t="s">
        <v>178</v>
      </c>
    </row>
    <row r="16" spans="1:3" x14ac:dyDescent="0.35">
      <c r="B16" s="7" t="s">
        <v>179</v>
      </c>
    </row>
    <row r="17" spans="2:2" x14ac:dyDescent="0.35">
      <c r="B17" s="7" t="s">
        <v>181</v>
      </c>
    </row>
    <row r="18" spans="2:2" x14ac:dyDescent="0.35">
      <c r="B18" s="7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528B-A9F8-4251-A9CE-45BA20ED84D3}">
  <dimension ref="B2:C3"/>
  <sheetViews>
    <sheetView workbookViewId="0">
      <selection activeCell="C4" sqref="C4"/>
    </sheetView>
  </sheetViews>
  <sheetFormatPr baseColWidth="10" defaultRowHeight="14.5" x14ac:dyDescent="0.35"/>
  <cols>
    <col min="2" max="2" width="31.81640625" customWidth="1"/>
  </cols>
  <sheetData>
    <row r="2" spans="2:3" x14ac:dyDescent="0.35">
      <c r="B2" s="9" t="s">
        <v>183</v>
      </c>
      <c r="C2">
        <f>COUNTA(datos!A:A)-1</f>
        <v>6</v>
      </c>
    </row>
    <row r="3" spans="2:3" x14ac:dyDescent="0.35">
      <c r="B3" s="9" t="s">
        <v>184</v>
      </c>
      <c r="C3">
        <f>COUNTA(servicios!C:C)-1</f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servicios</vt:lpstr>
      <vt:lpstr>datos</vt:lpstr>
      <vt:lpstr>Estadisticas</vt:lpstr>
      <vt:lpstr>listaLab</vt:lpstr>
      <vt:lpstr>listaS</vt:lpstr>
      <vt:lpstr>listaServicios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2026-10-28T14:30:24Z</dcterms:created>
  <dcterms:modified xsi:type="dcterms:W3CDTF">2026-10-28T14:56:53Z</dcterms:modified>
</cp:coreProperties>
</file>